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Servicos" sheetId="4" state="visible" r:id="rId4"/>
    <sheet xmlns:r="http://schemas.openxmlformats.org/officeDocument/2006/relationships" name="Calcu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&quot;US$&quot; #,##0.00"/>
    <numFmt numFmtId="166" formatCode="&quot;US$&quot; #,##0.0000"/>
    <numFmt numFmtId="167" formatCode="&quot;US$&quot; #,##0.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i val="1"/>
      <sz val="9"/>
    </font>
    <font>
      <b val="1"/>
      <color rgb="001F3864"/>
      <sz val="11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4" borderId="0" pivotButton="0" quotePrefix="0" xfId="0"/>
    <xf numFmtId="164" fontId="6" fillId="4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3" fontId="0" fillId="2" borderId="1" pivotButton="0" quotePrefix="0" xfId="0"/>
    <xf numFmtId="4" fontId="0" fillId="0" borderId="1" pivotButton="0" quotePrefix="0" xfId="0"/>
    <xf numFmtId="4" fontId="0" fillId="2" borderId="1" pivotButton="0" quotePrefix="0" xfId="0"/>
    <xf numFmtId="9" fontId="0" fillId="0" borderId="1" pivotButton="0" quotePrefix="0" xfId="0"/>
    <xf numFmtId="164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65" fontId="0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9" fontId="0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165" fontId="0" fillId="0" borderId="1" pivotButton="0" quotePrefix="0" xfId="0"/>
    <xf numFmtId="0" fontId="4" fillId="4" borderId="1" pivotButton="0" quotePrefix="0" xfId="0"/>
    <xf numFmtId="165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50" customWidth="1" min="3" max="3"/>
  </cols>
  <sheetData>
    <row r="1">
      <c r="A1" s="1" t="inlineStr">
        <is>
          <t>Resumo de custos e preço sugerido</t>
        </is>
      </c>
    </row>
    <row r="3">
      <c r="A3" s="2" t="inlineStr">
        <is>
          <t>CUSTO MENSAL</t>
        </is>
      </c>
    </row>
    <row r="4">
      <c r="A4" t="inlineStr">
        <is>
          <t>Custo fixo (planos + domínio)</t>
        </is>
      </c>
      <c r="B4" s="3">
        <f>(Calculo!$I$4+Calculo!$I$6+Calculo!$I$11+Calculo!$I$13)</f>
        <v/>
      </c>
      <c r="C4" s="4" t="inlineStr">
        <is>
          <t>Vercel Pro + Supabase Pro + rateio do domínio</t>
        </is>
      </c>
    </row>
    <row r="5">
      <c r="A5" t="inlineStr">
        <is>
          <t>Custo variável (excedentes de uso)</t>
        </is>
      </c>
      <c r="B5" s="3">
        <f>Calculo!$I$14-(Calculo!$I$4+Calculo!$I$6+Calculo!$I$11+Calculo!$I$13)</f>
        <v/>
      </c>
      <c r="C5" s="4" t="inlineStr">
        <is>
          <t>Storage, egress, banco, MAU, e-mails acima do incluído</t>
        </is>
      </c>
    </row>
    <row r="6">
      <c r="A6" s="5" t="inlineStr">
        <is>
          <t>Custo total por mês (R$)</t>
        </is>
      </c>
      <c r="B6" s="6">
        <f>Calculo!$I$14</f>
        <v/>
      </c>
    </row>
    <row r="7">
      <c r="A7" t="inlineStr">
        <is>
          <t>Custo total por mês (US$)</t>
        </is>
      </c>
      <c r="B7" s="3">
        <f>Calculo!$H$14</f>
        <v/>
      </c>
    </row>
    <row r="8">
      <c r="A8" t="inlineStr">
        <is>
          <t>Custo total por ano (R$)</t>
        </is>
      </c>
      <c r="B8" s="3">
        <f>Calculo!$I$14*12</f>
        <v/>
      </c>
    </row>
    <row r="10">
      <c r="A10" s="2" t="inlineStr">
        <is>
          <t>PREÇO A COBRAR POR EVENTO</t>
        </is>
      </c>
    </row>
    <row r="11">
      <c r="A11" t="inlineStr">
        <is>
          <t>Eventos ativos por mês</t>
        </is>
      </c>
      <c r="B11" s="7">
        <f>Premissas!$B$7</f>
        <v/>
      </c>
      <c r="C11" s="4" t="inlineStr">
        <is>
          <t>vem das Premissas</t>
        </is>
      </c>
    </row>
    <row r="12">
      <c r="A12" t="inlineStr">
        <is>
          <t>Custo de infraestrutura por evento (R$)</t>
        </is>
      </c>
      <c r="B12" s="3">
        <f>Calculo!$I$14/Premissas!$B$7</f>
        <v/>
      </c>
      <c r="C12" s="4" t="inlineStr">
        <is>
          <t>custo total do mês rateado pelos eventos</t>
        </is>
      </c>
    </row>
    <row r="13">
      <c r="A13" t="inlineStr">
        <is>
          <t>Margem desejada</t>
        </is>
      </c>
      <c r="B13" s="8">
        <f>Premissas!$B$17</f>
        <v/>
      </c>
      <c r="C13" s="4" t="inlineStr">
        <is>
          <t>vem das Premissas (200% = cobra 3x o custo)</t>
        </is>
      </c>
    </row>
    <row r="14">
      <c r="A14" s="5" t="inlineStr">
        <is>
          <t>PREÇO SUGERIDO POR EVENTO (R$)</t>
        </is>
      </c>
      <c r="B14" s="6">
        <f>Calculo!$I$21</f>
        <v/>
      </c>
      <c r="C14" s="4" t="inlineStr">
        <is>
          <t>só cobre infra + margem — some por cima montagem, design e suporte</t>
        </is>
      </c>
    </row>
    <row r="15">
      <c r="A15" t="inlineStr">
        <is>
          <t>Faturamento mensal sugerido (R$)</t>
        </is>
      </c>
      <c r="B15" s="3">
        <f>Calculo!$I$21*Premissas!$B$7</f>
        <v/>
      </c>
      <c r="C15" s="4" t="inlineStr">
        <is>
          <t>preço por evento x nº de eventos</t>
        </is>
      </c>
    </row>
    <row r="16">
      <c r="A16" t="inlineStr">
        <is>
          <t>Lucro mensal estimado (R$)</t>
        </is>
      </c>
      <c r="B16" s="3">
        <f>Calculo!$I$21*Premissas!$B$7-Calculo!$I$14</f>
        <v/>
      </c>
      <c r="C16" s="4" t="inlineStr">
        <is>
          <t>faturamento - custo total de infra</t>
        </is>
      </c>
    </row>
    <row r="17">
      <c r="A17" t="inlineStr">
        <is>
          <t>→ Para simular por nº de convidados, veja a aba 'Simulacao'</t>
        </is>
      </c>
    </row>
    <row r="19">
      <c r="A19" s="2" t="inlineStr">
        <is>
          <t>CUSTO ÚNICO INICIAL</t>
        </is>
      </c>
    </row>
    <row r="20">
      <c r="A20" t="inlineStr">
        <is>
          <t>Registro do domínio (1º ano, R$)</t>
        </is>
      </c>
      <c r="B20" s="3">
        <f>40</f>
        <v/>
      </c>
      <c r="C20" s="4" t="inlineStr">
        <is>
          <t>renova todo ano</t>
        </is>
      </c>
    </row>
    <row r="22">
      <c r="A22" s="2" t="inlineStr">
        <is>
          <t>ALERTAS</t>
        </is>
      </c>
    </row>
    <row r="23">
      <c r="A23" t="inlineStr">
        <is>
          <t>Resend — média de e-mails por dia</t>
        </is>
      </c>
      <c r="B23" s="7">
        <f>Calculo!$B$11/30</f>
        <v/>
      </c>
      <c r="C23" s="4" t="inlineStr">
        <is>
          <t>limite do Free é 100/dia</t>
        </is>
      </c>
    </row>
    <row r="24">
      <c r="A24" t="inlineStr">
        <is>
          <t>Status do limite diário do Resend</t>
        </is>
      </c>
      <c r="B24" s="9">
        <f>IF(Calculo!$B$11/30&gt;100,"ESTOURA 100/dia — precisa do Pro","dentro do Free (100/dia)")</f>
        <v/>
      </c>
    </row>
    <row r="25">
      <c r="A25" t="inlineStr">
        <is>
          <t>Status do limite mensal do Resend</t>
        </is>
      </c>
      <c r="B25" s="9">
        <f>IF(Calculo!$B$11&gt;3000,"acima de 3.000/mês — precisa do Pro","dentro do Free")</f>
        <v/>
      </c>
    </row>
    <row r="26">
      <c r="A26" t="inlineStr">
        <is>
          <t>Vercel</t>
        </is>
      </c>
      <c r="B26" s="9">
        <f>IF(Premissas!$B$4=1,"uso comercial — Hobby não é permitido, use Pro","Hobby ok")</f>
        <v/>
      </c>
    </row>
    <row r="27">
      <c r="A27" t="inlineStr">
        <is>
          <t>Supabase</t>
        </is>
      </c>
      <c r="B27" s="9">
        <f>IF(Premissas!$B$5=1,"Pro — projeto não pausa e tem backup","Free — projeto PAUSA após 7 dias inativo")</f>
        <v/>
      </c>
    </row>
    <row r="29">
      <c r="A29" t="inlineStr">
        <is>
          <t>Pagamentos (se ativar) — taxa estimada/mês (R$)</t>
        </is>
      </c>
      <c r="B29" s="3">
        <f>Calculo!$I$16</f>
        <v/>
      </c>
      <c r="C29" s="4" t="inlineStr">
        <is>
          <t>≈4,99% do valor de presentes; descontada do repasse ao cliente, não é seu custo</t>
        </is>
      </c>
    </row>
    <row r="31">
      <c r="A31" s="10" t="inlineStr">
        <is>
          <t>Observações:</t>
        </is>
      </c>
    </row>
    <row r="32">
      <c r="A32" s="4" t="inlineStr">
        <is>
          <t>1. Este modelo cobre APENAS os serviços de infraestrutura. O preço final ao cliente deve somar: horas de montagem da página, design, suporte durante o evento e lucro.</t>
        </is>
      </c>
    </row>
    <row r="33">
      <c r="A33" s="4" t="inlineStr">
        <is>
          <t>2. Vercel e Supabase têm plano gratuito, mas para uso comercial/produção o realista é Vercel Pro (US$ 20) + Supabase Pro (US$ 25) = base fixa de ~US$ 45/mês.</t>
        </is>
      </c>
    </row>
    <row r="34">
      <c r="A34" s="4" t="inlineStr">
        <is>
          <t>3. Resend cabe no plano gratuito enquanto o volume for &lt; 100 e-mails/dia e &lt; 3.000/mês. Acima disso, US$ 20/mês.</t>
        </is>
      </c>
    </row>
    <row r="35">
      <c r="A35" s="4" t="inlineStr">
        <is>
          <t>4. Custos de infra são compartilhados entre todos os eventos do mês — quanto mais eventos, menor o custo por evento.</t>
        </is>
      </c>
    </row>
    <row r="36">
      <c r="A36" s="4" t="inlineStr">
        <is>
          <t>5. Câmbio, volumes e margem são editáveis na aba Premissas (células amarelas). Tudo recalcula automaticamente.</t>
        </is>
      </c>
    </row>
    <row r="37">
      <c r="A37" s="4" t="inlineStr">
        <is>
          <t>6. Preços dos serviços verificados em setembro/2026.</t>
        </is>
      </c>
    </row>
  </sheetData>
  <mergeCells count="6">
    <mergeCell ref="A36:C36"/>
    <mergeCell ref="A33:C33"/>
    <mergeCell ref="A37:C37"/>
    <mergeCell ref="A32:C32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Simulação de um evento — quanto ele custa em infra e por quanto cobrar</t>
        </is>
      </c>
    </row>
    <row r="3">
      <c r="A3" s="2" t="inlineStr">
        <is>
          <t>ENTRADAS</t>
        </is>
      </c>
    </row>
    <row r="4">
      <c r="A4" t="inlineStr">
        <is>
          <t>Convidados neste evento</t>
        </is>
      </c>
      <c r="B4" s="11" t="n">
        <v>100</v>
      </c>
      <c r="C4" s="4" t="inlineStr">
        <is>
          <t>principal variável — mexa aqui</t>
        </is>
      </c>
    </row>
    <row r="5">
      <c r="A5" t="inlineStr">
        <is>
          <t>E-mails por convidado</t>
        </is>
      </c>
      <c r="B5" s="12">
        <f>Premissas!$B$9</f>
        <v/>
      </c>
      <c r="C5" s="4" t="inlineStr">
        <is>
          <t>convite + lembrete + confirmação (Premissas)</t>
        </is>
      </c>
    </row>
    <row r="6">
      <c r="A6" t="inlineStr">
        <is>
          <t>E-mails transacionais extras (acesso, recibos)</t>
        </is>
      </c>
      <c r="B6" s="12">
        <f>Premissas!$B$10</f>
        <v/>
      </c>
      <c r="C6" s="4" t="inlineStr">
        <is>
          <t>Premissas</t>
        </is>
      </c>
    </row>
    <row r="7">
      <c r="A7" t="inlineStr">
        <is>
          <t>Mídia enviada no evento (MB)</t>
        </is>
      </c>
      <c r="B7" s="12">
        <f>Premissas!$B$11</f>
        <v/>
      </c>
      <c r="C7" s="4" t="inlineStr">
        <is>
          <t>fotos/vídeos no Storage (Premissas)</t>
        </is>
      </c>
    </row>
    <row r="8">
      <c r="A8" t="inlineStr">
        <is>
          <t>Meses que a mídia fica retida</t>
        </is>
      </c>
      <c r="B8" s="12">
        <f>Premissas!$B$12</f>
        <v/>
      </c>
      <c r="C8" s="4" t="inlineStr">
        <is>
          <t>Premissas</t>
        </is>
      </c>
    </row>
    <row r="9">
      <c r="A9" t="inlineStr">
        <is>
          <t>Egress do evento (GB)</t>
        </is>
      </c>
      <c r="B9" s="13" t="n">
        <v>3</v>
      </c>
      <c r="C9" s="4" t="inlineStr">
        <is>
          <t>tráfego da página + downloads de mídia</t>
        </is>
      </c>
    </row>
    <row r="10">
      <c r="A10" t="inlineStr">
        <is>
          <t>Câmbio USD-BRL</t>
        </is>
      </c>
      <c r="B10" s="12">
        <f>Premissas!$B$3</f>
        <v/>
      </c>
      <c r="C10" s="4" t="inlineStr">
        <is>
          <t>Premissas</t>
        </is>
      </c>
    </row>
    <row r="11">
      <c r="A11" t="inlineStr">
        <is>
          <t>Eventos/mês (p/ ratear custo fixo)</t>
        </is>
      </c>
      <c r="B11" s="12">
        <f>Premissas!$B$7</f>
        <v/>
      </c>
      <c r="C11" s="4" t="inlineStr">
        <is>
          <t>Premissas</t>
        </is>
      </c>
    </row>
    <row r="12">
      <c r="A12" t="inlineStr">
        <is>
          <t>Margem desejada</t>
        </is>
      </c>
      <c r="B12" s="14">
        <f>Premissas!$B$17</f>
        <v/>
      </c>
      <c r="C12" s="4" t="inlineStr">
        <is>
          <t>Premissas</t>
        </is>
      </c>
    </row>
    <row r="13">
      <c r="A13" t="inlineStr">
        <is>
          <t>Custo de montagem/design/suporte (R$)</t>
        </is>
      </c>
      <c r="B13" s="15" t="n">
        <v>0</v>
      </c>
      <c r="C13" s="4" t="inlineStr">
        <is>
          <t>seu trabalho — some se quiser o preço cheio</t>
        </is>
      </c>
    </row>
    <row r="15">
      <c r="A15" s="2" t="inlineStr">
        <is>
          <t>TAXAS MARGINais (quanto cada unidade a mais custa)</t>
        </is>
      </c>
    </row>
    <row r="16">
      <c r="A16" t="inlineStr">
        <is>
          <t>Custo marginal por e-mail (US$)</t>
        </is>
      </c>
      <c r="B16" s="16">
        <f>IF(Calculo!$F$11&gt;0,0.0009,0)</f>
        <v/>
      </c>
      <c r="C16" s="4" t="inlineStr">
        <is>
          <t>0 enquanto está no Resend Free; US$ 0,90/1000 depois de entrar no Pro</t>
        </is>
      </c>
    </row>
    <row r="17">
      <c r="A17" t="inlineStr">
        <is>
          <t>Custo marginal de storage US$/GB/mês</t>
        </is>
      </c>
      <c r="B17" s="17">
        <f>IF(Calculo!$G$7&gt;0,0.021,0)</f>
        <v/>
      </c>
      <c r="C17" s="4" t="inlineStr">
        <is>
          <t>0 enquanto cabe nos 100 GB do Supabase Pro; US$ 0,021 depois</t>
        </is>
      </c>
    </row>
    <row r="18">
      <c r="A18" t="inlineStr">
        <is>
          <t>Custo marginal de egress US$/GB</t>
        </is>
      </c>
      <c r="B18" s="17">
        <f>IF(Calculo!$G$8&gt;0,0.09,0)</f>
        <v/>
      </c>
      <c r="C18" s="4" t="inlineStr">
        <is>
          <t>0 enquanto cabe nos 250 GB do Supabase Pro; US$ 0,09 depois</t>
        </is>
      </c>
    </row>
    <row r="20">
      <c r="A20" s="2" t="inlineStr">
        <is>
          <t>RESULTADO DESTE EVENTO</t>
        </is>
      </c>
    </row>
    <row r="21">
      <c r="A21" t="inlineStr">
        <is>
          <t>E-mails disparados no evento</t>
        </is>
      </c>
      <c r="B21" s="7">
        <f>$B$4*$B$5+$B$6</f>
        <v/>
      </c>
    </row>
    <row r="22">
      <c r="A22" t="inlineStr">
        <is>
          <t>Storage acumulado do evento (GB·mês)</t>
        </is>
      </c>
      <c r="B22" s="7">
        <f>($B$7/1024)*$B$8</f>
        <v/>
      </c>
    </row>
    <row r="23">
      <c r="A23" t="inlineStr">
        <is>
          <t>Custo variável do evento (US$)</t>
        </is>
      </c>
      <c r="B23" s="18">
        <f>($B$4*$B$5+$B$6)*$B$16+(($B$7/1024)*$B$8)*$B$17+$B$9*$B$18</f>
        <v/>
      </c>
    </row>
    <row r="24">
      <c r="A24" t="inlineStr">
        <is>
          <t>Custo variável do evento (R$)</t>
        </is>
      </c>
      <c r="B24" s="3">
        <f>B23*$B$10</f>
        <v/>
      </c>
    </row>
    <row r="25">
      <c r="A25" t="inlineStr">
        <is>
          <t>Rateio do custo fixo mensal (R$)</t>
        </is>
      </c>
      <c r="B25" s="3">
        <f>(Calculo!$I$4+Calculo!$I$6+Calculo!$I$11+Calculo!$I$13)/$B$11</f>
        <v/>
      </c>
    </row>
    <row r="26">
      <c r="A26" s="5" t="inlineStr">
        <is>
          <t>CUSTO TOTAL DO EVENTO EM INFRA (R$)</t>
        </is>
      </c>
      <c r="B26" s="6">
        <f>B24+B25</f>
        <v/>
      </c>
    </row>
    <row r="27">
      <c r="A27" t="inlineStr">
        <is>
          <t>Preço só p/ cobrir infra + margem (R$)</t>
        </is>
      </c>
      <c r="B27" s="3">
        <f>B26*(1+$B$12)</f>
        <v/>
      </c>
    </row>
    <row r="28">
      <c r="A28" s="19" t="inlineStr">
        <is>
          <t>PREÇO FINAL SUGERIDO — com montagem (R$)</t>
        </is>
      </c>
      <c r="B28" s="20">
        <f>B26*(1+$B$12)+$B$13</f>
        <v/>
      </c>
    </row>
    <row r="31">
      <c r="A31" s="2" t="inlineStr">
        <is>
          <t>TABELA — varie o nº de convidados</t>
        </is>
      </c>
    </row>
    <row r="32">
      <c r="A32" s="21" t="inlineStr">
        <is>
          <t>Convidados</t>
        </is>
      </c>
      <c r="B32" s="21" t="inlineStr">
        <is>
          <t>E-mails</t>
        </is>
      </c>
      <c r="C32" s="21" t="inlineStr">
        <is>
          <t>Custo variável (R$)</t>
        </is>
      </c>
      <c r="D32" s="21" t="inlineStr">
        <is>
          <t>Rateio fixo (R$)</t>
        </is>
      </c>
      <c r="E32" s="21" t="inlineStr">
        <is>
          <t>Custo total infra (R$)</t>
        </is>
      </c>
      <c r="F32" s="21" t="inlineStr">
        <is>
          <t>Preço final sugerido (R$)</t>
        </is>
      </c>
    </row>
    <row r="33">
      <c r="A33" s="22" t="n">
        <v>25</v>
      </c>
      <c r="B33" s="12">
        <f>A33*$B$5+$B$6</f>
        <v/>
      </c>
      <c r="C33" s="23">
        <f>((A33*$B$5+$B$6)*$B$16+(($B$7/1024)*$B$8)*$B$17+$B$9*$B$18)*$B$10</f>
        <v/>
      </c>
      <c r="D33" s="23">
        <f>(Calculo!$I$4+Calculo!$I$6+Calculo!$I$11+Calculo!$I$13)/$B$11</f>
        <v/>
      </c>
      <c r="E33" s="23">
        <f>C33+D33</f>
        <v/>
      </c>
      <c r="F33" s="23">
        <f>E33*(1+$B$12)+$B$13</f>
        <v/>
      </c>
    </row>
    <row r="34">
      <c r="A34" s="22" t="n">
        <v>50</v>
      </c>
      <c r="B34" s="12">
        <f>A34*$B$5+$B$6</f>
        <v/>
      </c>
      <c r="C34" s="23">
        <f>((A34*$B$5+$B$6)*$B$16+(($B$7/1024)*$B$8)*$B$17+$B$9*$B$18)*$B$10</f>
        <v/>
      </c>
      <c r="D34" s="23">
        <f>(Calculo!$I$4+Calculo!$I$6+Calculo!$I$11+Calculo!$I$13)/$B$11</f>
        <v/>
      </c>
      <c r="E34" s="23">
        <f>C34+D34</f>
        <v/>
      </c>
      <c r="F34" s="23">
        <f>E34*(1+$B$12)+$B$13</f>
        <v/>
      </c>
    </row>
    <row r="35">
      <c r="A35" s="22" t="n">
        <v>75</v>
      </c>
      <c r="B35" s="12">
        <f>A35*$B$5+$B$6</f>
        <v/>
      </c>
      <c r="C35" s="23">
        <f>((A35*$B$5+$B$6)*$B$16+(($B$7/1024)*$B$8)*$B$17+$B$9*$B$18)*$B$10</f>
        <v/>
      </c>
      <c r="D35" s="23">
        <f>(Calculo!$I$4+Calculo!$I$6+Calculo!$I$11+Calculo!$I$13)/$B$11</f>
        <v/>
      </c>
      <c r="E35" s="23">
        <f>C35+D35</f>
        <v/>
      </c>
      <c r="F35" s="23">
        <f>E35*(1+$B$12)+$B$13</f>
        <v/>
      </c>
    </row>
    <row r="36">
      <c r="A36" s="22" t="n">
        <v>100</v>
      </c>
      <c r="B36" s="12">
        <f>A36*$B$5+$B$6</f>
        <v/>
      </c>
      <c r="C36" s="23">
        <f>((A36*$B$5+$B$6)*$B$16+(($B$7/1024)*$B$8)*$B$17+$B$9*$B$18)*$B$10</f>
        <v/>
      </c>
      <c r="D36" s="23">
        <f>(Calculo!$I$4+Calculo!$I$6+Calculo!$I$11+Calculo!$I$13)/$B$11</f>
        <v/>
      </c>
      <c r="E36" s="23">
        <f>C36+D36</f>
        <v/>
      </c>
      <c r="F36" s="23">
        <f>E36*(1+$B$12)+$B$13</f>
        <v/>
      </c>
    </row>
    <row r="37">
      <c r="A37" s="22" t="n">
        <v>150</v>
      </c>
      <c r="B37" s="12">
        <f>A37*$B$5+$B$6</f>
        <v/>
      </c>
      <c r="C37" s="23">
        <f>((A37*$B$5+$B$6)*$B$16+(($B$7/1024)*$B$8)*$B$17+$B$9*$B$18)*$B$10</f>
        <v/>
      </c>
      <c r="D37" s="23">
        <f>(Calculo!$I$4+Calculo!$I$6+Calculo!$I$11+Calculo!$I$13)/$B$11</f>
        <v/>
      </c>
      <c r="E37" s="23">
        <f>C37+D37</f>
        <v/>
      </c>
      <c r="F37" s="23">
        <f>E37*(1+$B$12)+$B$13</f>
        <v/>
      </c>
    </row>
    <row r="38">
      <c r="A38" s="22" t="n">
        <v>200</v>
      </c>
      <c r="B38" s="12">
        <f>A38*$B$5+$B$6</f>
        <v/>
      </c>
      <c r="C38" s="23">
        <f>((A38*$B$5+$B$6)*$B$16+(($B$7/1024)*$B$8)*$B$17+$B$9*$B$18)*$B$10</f>
        <v/>
      </c>
      <c r="D38" s="23">
        <f>(Calculo!$I$4+Calculo!$I$6+Calculo!$I$11+Calculo!$I$13)/$B$11</f>
        <v/>
      </c>
      <c r="E38" s="23">
        <f>C38+D38</f>
        <v/>
      </c>
      <c r="F38" s="23">
        <f>E38*(1+$B$12)+$B$13</f>
        <v/>
      </c>
    </row>
    <row r="39">
      <c r="A39" s="22" t="n">
        <v>300</v>
      </c>
      <c r="B39" s="12">
        <f>A39*$B$5+$B$6</f>
        <v/>
      </c>
      <c r="C39" s="23">
        <f>((A39*$B$5+$B$6)*$B$16+(($B$7/1024)*$B$8)*$B$17+$B$9*$B$18)*$B$10</f>
        <v/>
      </c>
      <c r="D39" s="23">
        <f>(Calculo!$I$4+Calculo!$I$6+Calculo!$I$11+Calculo!$I$13)/$B$11</f>
        <v/>
      </c>
      <c r="E39" s="23">
        <f>C39+D39</f>
        <v/>
      </c>
      <c r="F39" s="23">
        <f>E39*(1+$B$12)+$B$13</f>
        <v/>
      </c>
    </row>
    <row r="40">
      <c r="A40" s="22" t="n">
        <v>500</v>
      </c>
      <c r="B40" s="12">
        <f>A40*$B$5+$B$6</f>
        <v/>
      </c>
      <c r="C40" s="23">
        <f>((A40*$B$5+$B$6)*$B$16+(($B$7/1024)*$B$8)*$B$17+$B$9*$B$18)*$B$10</f>
        <v/>
      </c>
      <c r="D40" s="23">
        <f>(Calculo!$I$4+Calculo!$I$6+Calculo!$I$11+Calculo!$I$13)/$B$11</f>
        <v/>
      </c>
      <c r="E40" s="23">
        <f>C40+D40</f>
        <v/>
      </c>
      <c r="F40" s="23">
        <f>E40*(1+$B$12)+$B$13</f>
        <v/>
      </c>
    </row>
    <row r="42">
      <c r="A42" s="4" t="inlineStr">
        <is>
          <t>Obs.: o custo variável de um evento só aparece de verdade quando a operação já estourou o Free (Resend Pro) ou o incluído do Supabase Pro. Abaixo desse ponto, o custo real do evento é quase só o rateio do custo fixo mensal.</t>
        </is>
      </c>
    </row>
  </sheetData>
  <mergeCells count="1">
    <mergeCell ref="A42:F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60" customWidth="1" min="3" max="3"/>
  </cols>
  <sheetData>
    <row r="1">
      <c r="A1" s="1" t="inlineStr">
        <is>
          <t>Premissas — ajuste os valores em amarelo</t>
        </is>
      </c>
    </row>
    <row r="3">
      <c r="A3" t="inlineStr">
        <is>
          <t>Câmbio USD - BRL</t>
        </is>
      </c>
      <c r="B3" s="13" t="n">
        <v>5.4</v>
      </c>
      <c r="C3" s="4" t="inlineStr">
        <is>
          <t>Cotação usada para converter os serviços (cobrados em US$)</t>
        </is>
      </c>
    </row>
    <row r="4">
      <c r="A4" t="inlineStr">
        <is>
          <t>Uso comercial? (Vercel Hobby proíbe) 1=sim / 0=não</t>
        </is>
      </c>
      <c r="B4" s="11" t="n">
        <v>1</v>
      </c>
      <c r="C4" s="4" t="inlineStr">
        <is>
          <t>Se 1, entra no Vercel Pro (US$ 20/mês). O plano Hobby é gratuito mas veda uso comercial.</t>
        </is>
      </c>
    </row>
    <row r="5">
      <c r="A5" t="inlineStr">
        <is>
          <t>Produção sem pausa + backup? (Supabase Pro) 1/0</t>
        </is>
      </c>
      <c r="B5" s="11" t="n">
        <v>1</v>
      </c>
      <c r="C5" s="4" t="inlineStr">
        <is>
          <t>Se 1, entra no Supabase Pro (US$ 25/mês). O Free pausa o projeto após 7 dias inativo e não tem backup.</t>
        </is>
      </c>
    </row>
    <row r="7">
      <c r="A7" t="inlineStr">
        <is>
          <t>Eventos ativos por mês</t>
        </is>
      </c>
      <c r="B7" s="11" t="n">
        <v>10</v>
      </c>
      <c r="C7" s="4" t="inlineStr">
        <is>
          <t>Quantas páginas/eventos rodando simultaneamente</t>
        </is>
      </c>
    </row>
    <row r="8">
      <c r="A8" t="inlineStr">
        <is>
          <t>Convidados médios por evento</t>
        </is>
      </c>
      <c r="B8" s="11" t="n">
        <v>80</v>
      </c>
      <c r="C8" s="4" t="inlineStr"/>
    </row>
    <row r="9">
      <c r="A9" t="inlineStr">
        <is>
          <t>E-mails por convidado (convite + lembrete + confirmação)</t>
        </is>
      </c>
      <c r="B9" s="11" t="n">
        <v>3</v>
      </c>
      <c r="C9" s="4" t="inlineStr"/>
    </row>
    <row r="10">
      <c r="A10" t="inlineStr">
        <is>
          <t>E-mails transacionais extras por evento (acesso painel, recibos)</t>
        </is>
      </c>
      <c r="B10" s="11" t="n">
        <v>12</v>
      </c>
      <c r="C10" s="4" t="inlineStr"/>
    </row>
    <row r="11">
      <c r="A11" t="inlineStr">
        <is>
          <t>Mídia enviada por evento (MB)</t>
        </is>
      </c>
      <c r="B11" s="11" t="n">
        <v>500</v>
      </c>
      <c r="C11" s="4" t="inlineStr">
        <is>
          <t>Fotos/vídeos no Storage do Supabase</t>
        </is>
      </c>
    </row>
    <row r="12">
      <c r="A12" t="inlineStr">
        <is>
          <t>Meses que a mídia fica retida</t>
        </is>
      </c>
      <c r="B12" s="11" t="n">
        <v>6</v>
      </c>
      <c r="C12" s="4" t="inlineStr">
        <is>
          <t>Storage acumula enquanto os arquivos não são apagados</t>
        </is>
      </c>
    </row>
    <row r="13">
      <c r="A13" t="inlineStr">
        <is>
          <t>Banda / egress total por mês (GB)</t>
        </is>
      </c>
      <c r="B13" s="13" t="n">
        <v>20</v>
      </c>
      <c r="C13" s="4" t="inlineStr">
        <is>
          <t>Tráfego de saída (páginas + download de mídia)</t>
        </is>
      </c>
    </row>
    <row r="14">
      <c r="A14" t="inlineStr">
        <is>
          <t>Tamanho do banco de dados (GB)</t>
        </is>
      </c>
      <c r="B14" s="13" t="n">
        <v>0.5</v>
      </c>
      <c r="C14" s="4" t="inlineStr"/>
    </row>
    <row r="15">
      <c r="A15" t="inlineStr">
        <is>
          <t>MAU — clientes + convidados autenticados por mês</t>
        </is>
      </c>
      <c r="B15" s="11" t="n">
        <v>300</v>
      </c>
      <c r="C15" s="4" t="inlineStr">
        <is>
          <t>Usuários que fazem login via magic link</t>
        </is>
      </c>
    </row>
    <row r="17">
      <c r="A17" t="inlineStr">
        <is>
          <t>Margem desejada sobre o custo (%)</t>
        </is>
      </c>
      <c r="B17" s="24" t="n">
        <v>2</v>
      </c>
      <c r="C17" s="4" t="inlineStr">
        <is>
          <t>200% = cobra 3x o custo. Ajuste conforme o mercado.</t>
        </is>
      </c>
    </row>
    <row r="18">
      <c r="A18" t="inlineStr">
        <is>
          <t>Ticket médio de presentes por evento (R$) — opcional</t>
        </is>
      </c>
      <c r="B18" s="15" t="n">
        <v>2000</v>
      </c>
      <c r="C18" s="4" t="inlineStr">
        <is>
          <t>Só para estimar a taxa do provedor de pagamento (repassada)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46" customWidth="1" min="4" max="4"/>
    <col width="40" customWidth="1" min="5" max="5"/>
    <col width="34" customWidth="1" min="6" max="6"/>
    <col width="46" customWidth="1" min="7" max="7"/>
  </cols>
  <sheetData>
    <row r="1">
      <c r="A1" s="1" t="inlineStr">
        <is>
          <t>Serviços usados pela plataforma — o que é grátis e o que passa a custar</t>
        </is>
      </c>
    </row>
    <row r="3">
      <c r="A3" s="21" t="inlineStr">
        <is>
          <t>Serviço</t>
        </is>
      </c>
      <c r="B3" s="21" t="inlineStr">
        <is>
          <t>Função no projeto</t>
        </is>
      </c>
      <c r="C3" s="21" t="inlineStr">
        <is>
          <t>Plano hoje</t>
        </is>
      </c>
      <c r="D3" s="21" t="inlineStr">
        <is>
          <t>O free tier inclui</t>
        </is>
      </c>
      <c r="E3" s="21" t="inlineStr">
        <is>
          <t>Começa a pagar quando...</t>
        </is>
      </c>
      <c r="F3" s="21" t="inlineStr">
        <is>
          <t>Próximo plano (preço/mês)</t>
        </is>
      </c>
      <c r="G3" s="21" t="inlineStr">
        <is>
          <t>Preço acima do incluído</t>
        </is>
      </c>
    </row>
    <row r="4">
      <c r="A4" s="25" t="inlineStr">
        <is>
          <t>Vercel</t>
        </is>
      </c>
      <c r="B4" s="25" t="inlineStr">
        <is>
          <t>Hospedagem do Next.js 16 (SSR, rotas de API, cron da fila de e-mail)</t>
        </is>
      </c>
      <c r="C4" s="25" t="inlineStr">
        <is>
          <t>Hobby (grátis)</t>
        </is>
      </c>
      <c r="D4" s="25" t="inlineStr">
        <is>
          <t>100 GB de banda, 1 mi de invocações de função, 4 h de CPU ativa, HTTPS e deploy automático</t>
        </is>
      </c>
      <c r="E4" s="25" t="inlineStr">
        <is>
          <t>Uso comercial (proibido no Hobby) OU banda &gt; 100 GB/mês</t>
        </is>
      </c>
      <c r="F4" s="25" t="inlineStr">
        <is>
          <t>Pro — US$ 20/mês por assento (inclui 1 TB de banda, 10 mi de edge requests)</t>
        </is>
      </c>
      <c r="G4" s="25" t="inlineStr">
        <is>
          <t>Banda além de 1 TB: US$ 0,15/GB. Sem overage no Hobby (corta ao atingir o teto).</t>
        </is>
      </c>
    </row>
    <row r="5">
      <c r="A5" s="25" t="inlineStr">
        <is>
          <t>Supabase</t>
        </is>
      </c>
      <c r="B5" s="25" t="inlineStr">
        <is>
          <t>Postgres, Auth (magic link), Storage de mídia, Realtime, Edge Functions, pg_cron/pg_net</t>
        </is>
      </c>
      <c r="C5" s="25" t="inlineStr">
        <is>
          <t>Free</t>
        </is>
      </c>
      <c r="D5" s="25" t="inlineStr">
        <is>
          <t>500 MB de banco, 1 GB de Storage, 5 GB de egress, 50 mil MAU, 500 mil invocações de edge function, 2 projetos</t>
        </is>
      </c>
      <c r="E5" s="25" t="inlineStr">
        <is>
          <t>Banco &gt; 500 MB, Storage &gt; 1 GB, egress &gt; 5 GB, OU precisa de backup / projeto sem pausa (pausa após 7 dias inativo)</t>
        </is>
      </c>
      <c r="F5" s="25" t="inlineStr">
        <is>
          <t>Pro — US$ 25/mês (8 GB de banco, 100 GB de Storage, 250 GB de egress, 100 mil MAU, backup 7 dias)</t>
        </is>
      </c>
      <c r="G5" s="25" t="inlineStr">
        <is>
          <t>Banco: US$ 0,125/GB · Storage: US$ 0,021/GB · Egress: US$ 0,09/GB · MAU extra: US$ 0,00325 cada</t>
        </is>
      </c>
    </row>
    <row r="6">
      <c r="A6" s="25" t="inlineStr">
        <is>
          <t>Resend</t>
        </is>
      </c>
      <c r="B6" s="25" t="inlineStr">
        <is>
          <t>E-mail transacional: convite, lembrete/confirmação de RSVP, acesso ao painel, recibo de presente</t>
        </is>
      </c>
      <c r="C6" s="25" t="inlineStr">
        <is>
          <t>Free</t>
        </is>
      </c>
      <c r="D6" s="25" t="inlineStr">
        <is>
          <t>3.000 e-mails/mês, limite de 100/dia, 1 domínio verificado</t>
        </is>
      </c>
      <c r="E6" s="25" t="inlineStr">
        <is>
          <t>Mais de 100 e-mails/dia OU mais de 3.000 e-mails/mês</t>
        </is>
      </c>
      <c r="F6" s="25" t="inlineStr">
        <is>
          <t>Pro — US$ 20/mês (50.000 e-mails/mês, domínios ilimitados)</t>
        </is>
      </c>
      <c r="G6" s="25" t="inlineStr">
        <is>
          <t>Acima de 50.000: US$ 0,90 por 1.000 e-mails</t>
        </is>
      </c>
    </row>
    <row r="7">
      <c r="A7" s="25" t="inlineStr">
        <is>
          <t>Domínio</t>
        </is>
      </c>
      <c r="B7" s="25" t="inlineStr">
        <is>
          <t>DNS do site + registros SPF/DKIM/DMARC exigidos pelo Resend para enviar e-mail</t>
        </is>
      </c>
      <c r="C7" s="25" t="inlineStr">
        <is>
          <t>Pago (obrigatório)</t>
        </is>
      </c>
      <c r="D7" s="25" t="inlineStr">
        <is>
          <t>—</t>
        </is>
      </c>
      <c r="E7" s="25" t="inlineStr">
        <is>
          <t>Sempre — é o registro anual do domínio</t>
        </is>
      </c>
      <c r="F7" s="25" t="inlineStr">
        <is>
          <t>Registro .com.br ≈ R$ 40/ano (~R$ 3,33/mês). .com ≈ US$ 12/ano.</t>
        </is>
      </c>
      <c r="G7" s="25" t="inlineStr">
        <is>
          <t>Renovação anual</t>
        </is>
      </c>
    </row>
    <row r="8">
      <c r="A8" s="25" t="inlineStr">
        <is>
          <t>Provedor de pagamento (futuro)</t>
        </is>
      </c>
      <c r="B8" s="25" t="inlineStr">
        <is>
          <t>Checkout de presentes / pagamentos — hoje roda um mock, sem cobrança real</t>
        </is>
      </c>
      <c r="C8" s="25" t="inlineStr">
        <is>
          <t>Mock (inativo)</t>
        </is>
      </c>
      <c r="D8" s="25" t="inlineStr">
        <is>
          <t>Sem custo enquanto for mock</t>
        </is>
      </c>
      <c r="E8" s="25" t="inlineStr">
        <is>
          <t>Ao conectar um provedor real e processar dinheiro de verdade</t>
        </is>
      </c>
      <c r="F8" s="25" t="inlineStr">
        <is>
          <t>Sem mensalidade — cobra por transação</t>
        </is>
      </c>
      <c r="G8" s="25" t="inlineStr">
        <is>
          <t>Mercado Pago ≈ 4,99% por transação · Stripe ≈ 3,99% + R$ 0,39 (taxa descontada do repasse ao cliente)</t>
        </is>
      </c>
    </row>
    <row r="9">
      <c r="A9" s="25" t="inlineStr">
        <is>
          <t>Supabase Auth (e-mail de login)</t>
        </is>
      </c>
      <c r="B9" s="25" t="inlineStr">
        <is>
          <t>Envio do magic link de autenticação — separado da fila do Resend</t>
        </is>
      </c>
      <c r="C9" s="25" t="inlineStr">
        <is>
          <t>Incluído no Supabase</t>
        </is>
      </c>
      <c r="D9" s="25" t="inlineStr">
        <is>
          <t>~2 e-mails/hora no SMTP embutido (bom só para teste)</t>
        </is>
      </c>
      <c r="E9" s="25" t="inlineStr">
        <is>
          <t>Em produção recomenda-se SMTP próprio (o mesmo Resend) — sem custo adicional além do Resend</t>
        </is>
      </c>
      <c r="F9" s="25" t="inlineStr">
        <is>
          <t>—</t>
        </is>
      </c>
      <c r="G9" s="25" t="inlineStr">
        <is>
          <t>—</t>
        </is>
      </c>
    </row>
    <row r="11">
      <c r="A11" s="26" t="inlineStr">
        <is>
          <t>Preços verificados em set/2026 (páginas oficiais Vercel, Supabase, Resend). Valores podem mudar; reconfira antes de fechar contrato.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Cálculo do custo mensal (a partir das Premissas)</t>
        </is>
      </c>
    </row>
    <row r="3">
      <c r="A3" s="21" t="inlineStr">
        <is>
          <t>Item</t>
        </is>
      </c>
      <c r="B3" s="21" t="inlineStr">
        <is>
          <t>Uso estimado</t>
        </is>
      </c>
      <c r="C3" s="21" t="inlineStr">
        <is>
          <t>Unidade</t>
        </is>
      </c>
      <c r="D3" s="21" t="inlineStr">
        <is>
          <t>Incluído</t>
        </is>
      </c>
      <c r="E3" s="21" t="inlineStr">
        <is>
          <t>Excedente</t>
        </is>
      </c>
      <c r="F3" s="21" t="inlineStr">
        <is>
          <t>Custo plano (US$)</t>
        </is>
      </c>
      <c r="G3" s="21" t="inlineStr">
        <is>
          <t>Custo excedente (US$)</t>
        </is>
      </c>
      <c r="H3" s="21" t="inlineStr">
        <is>
          <t>Total US$/mês</t>
        </is>
      </c>
      <c r="I3" s="21" t="inlineStr">
        <is>
          <t>Total R$/mês</t>
        </is>
      </c>
    </row>
    <row r="4">
      <c r="A4" s="22" t="inlineStr">
        <is>
          <t>Vercel — plano de hospedagem</t>
        </is>
      </c>
      <c r="B4" s="22" t="n"/>
      <c r="C4" s="22" t="n"/>
      <c r="D4" s="22" t="n"/>
      <c r="E4" s="22" t="n"/>
      <c r="F4" s="27">
        <f>IF(Premissas!$B$4=1,20,0)</f>
        <v/>
      </c>
      <c r="G4" s="27">
        <f>0</f>
        <v/>
      </c>
      <c r="H4" s="27">
        <f>F4+G4</f>
        <v/>
      </c>
      <c r="I4" s="23">
        <f>H4*Premissas!$B$3</f>
        <v/>
      </c>
    </row>
    <row r="5">
      <c r="A5" s="22" t="inlineStr">
        <is>
          <t>Vercel — banda excedente</t>
        </is>
      </c>
      <c r="B5" s="12">
        <f>Premissas!$B$13</f>
        <v/>
      </c>
      <c r="C5" s="22" t="inlineStr">
        <is>
          <t>GB/mês</t>
        </is>
      </c>
      <c r="D5" s="12">
        <f>IF(Premissas!$B$4=1,1024,100)</f>
        <v/>
      </c>
      <c r="E5" s="12">
        <f>MAX(0,B5-D5)</f>
        <v/>
      </c>
      <c r="F5" s="27">
        <f>0</f>
        <v/>
      </c>
      <c r="G5" s="27">
        <f>MAX(0,B5-D5)*0.15</f>
        <v/>
      </c>
      <c r="H5" s="27">
        <f>F5+G5</f>
        <v/>
      </c>
      <c r="I5" s="23">
        <f>H5*Premissas!$B$3</f>
        <v/>
      </c>
    </row>
    <row r="6">
      <c r="A6" s="22" t="inlineStr">
        <is>
          <t>Supabase — plano</t>
        </is>
      </c>
      <c r="B6" s="22" t="n"/>
      <c r="C6" s="22" t="n"/>
      <c r="D6" s="22" t="n"/>
      <c r="E6" s="22" t="n"/>
      <c r="F6" s="27">
        <f>IF(Premissas!$B$5=1,25,0)</f>
        <v/>
      </c>
      <c r="G6" s="27">
        <f>0</f>
        <v/>
      </c>
      <c r="H6" s="27">
        <f>F6+G6</f>
        <v/>
      </c>
      <c r="I6" s="23">
        <f>H6*Premissas!$B$3</f>
        <v/>
      </c>
    </row>
    <row r="7">
      <c r="A7" s="22" t="inlineStr">
        <is>
          <t>Supabase — Storage (mídia) excedente</t>
        </is>
      </c>
      <c r="B7" s="12">
        <f>(Premissas!$B$7*Premissas!$B$11*Premissas!$B$12/1024)</f>
        <v/>
      </c>
      <c r="C7" s="22" t="inlineStr">
        <is>
          <t>GB</t>
        </is>
      </c>
      <c r="D7" s="12">
        <f>IF(Premissas!$B$5=1,100,1)</f>
        <v/>
      </c>
      <c r="E7" s="12">
        <f>MAX(0,B7-D7)</f>
        <v/>
      </c>
      <c r="F7" s="27">
        <f>0</f>
        <v/>
      </c>
      <c r="G7" s="27">
        <f>MAX(0,B7-D7)*0.021</f>
        <v/>
      </c>
      <c r="H7" s="27">
        <f>F7+G7</f>
        <v/>
      </c>
      <c r="I7" s="23">
        <f>H7*Premissas!$B$3</f>
        <v/>
      </c>
    </row>
    <row r="8">
      <c r="A8" s="22" t="inlineStr">
        <is>
          <t>Supabase — egress excedente</t>
        </is>
      </c>
      <c r="B8" s="12">
        <f>Premissas!$B$13</f>
        <v/>
      </c>
      <c r="C8" s="22" t="inlineStr">
        <is>
          <t>GB/mês</t>
        </is>
      </c>
      <c r="D8" s="12">
        <f>IF(Premissas!$B$5=1,250,5)</f>
        <v/>
      </c>
      <c r="E8" s="12">
        <f>MAX(0,B8-D8)</f>
        <v/>
      </c>
      <c r="F8" s="27">
        <f>0</f>
        <v/>
      </c>
      <c r="G8" s="27">
        <f>MAX(0,B8-D8)*0.09</f>
        <v/>
      </c>
      <c r="H8" s="27">
        <f>F8+G8</f>
        <v/>
      </c>
      <c r="I8" s="23">
        <f>H8*Premissas!$B$3</f>
        <v/>
      </c>
    </row>
    <row r="9">
      <c r="A9" s="22" t="inlineStr">
        <is>
          <t>Supabase — banco de dados excedente</t>
        </is>
      </c>
      <c r="B9" s="12">
        <f>Premissas!$B$14</f>
        <v/>
      </c>
      <c r="C9" s="22" t="inlineStr">
        <is>
          <t>GB</t>
        </is>
      </c>
      <c r="D9" s="12">
        <f>IF(Premissas!$B$5=1,8,0.5)</f>
        <v/>
      </c>
      <c r="E9" s="12">
        <f>MAX(0,B9-D9)</f>
        <v/>
      </c>
      <c r="F9" s="27">
        <f>0</f>
        <v/>
      </c>
      <c r="G9" s="27">
        <f>MAX(0,B9-D9)*0.125</f>
        <v/>
      </c>
      <c r="H9" s="27">
        <f>F9+G9</f>
        <v/>
      </c>
      <c r="I9" s="23">
        <f>H9*Premissas!$B$3</f>
        <v/>
      </c>
    </row>
    <row r="10">
      <c r="A10" s="22" t="inlineStr">
        <is>
          <t>Supabase — MAU excedente</t>
        </is>
      </c>
      <c r="B10" s="12">
        <f>Premissas!$B$15</f>
        <v/>
      </c>
      <c r="C10" s="22" t="inlineStr">
        <is>
          <t>usuários/mês</t>
        </is>
      </c>
      <c r="D10" s="12">
        <f>IF(Premissas!$B$5=1,100000,50000)</f>
        <v/>
      </c>
      <c r="E10" s="12">
        <f>MAX(0,B10-D10)</f>
        <v/>
      </c>
      <c r="F10" s="27">
        <f>0</f>
        <v/>
      </c>
      <c r="G10" s="27">
        <f>MAX(0,B10-D10)*0.00325</f>
        <v/>
      </c>
      <c r="H10" s="27">
        <f>F10+G10</f>
        <v/>
      </c>
      <c r="I10" s="23">
        <f>H10*Premissas!$B$3</f>
        <v/>
      </c>
    </row>
    <row r="11">
      <c r="A11" s="22" t="inlineStr">
        <is>
          <t>Resend — plano</t>
        </is>
      </c>
      <c r="B11" s="12">
        <f>(Premissas!$B$7*(Premissas!$B$8*Premissas!$B$9+Premissas!$B$10))</f>
        <v/>
      </c>
      <c r="C11" s="22" t="inlineStr">
        <is>
          <t>e-mails/mês</t>
        </is>
      </c>
      <c r="D11" s="12">
        <f>3000</f>
        <v/>
      </c>
      <c r="E11" s="12">
        <f>MAX(0,B11-D11)</f>
        <v/>
      </c>
      <c r="F11" s="27">
        <f>IF(B11&gt;3000,20,0)</f>
        <v/>
      </c>
      <c r="G11" s="27">
        <f>0</f>
        <v/>
      </c>
      <c r="H11" s="27">
        <f>F11+G11</f>
        <v/>
      </c>
      <c r="I11" s="23">
        <f>H11*Premissas!$B$3</f>
        <v/>
      </c>
    </row>
    <row r="12">
      <c r="A12" s="22" t="inlineStr">
        <is>
          <t>Resend — e-mails acima do plano Pro</t>
        </is>
      </c>
      <c r="B12" s="12">
        <f>(Premissas!$B$7*(Premissas!$B$8*Premissas!$B$9+Premissas!$B$10))</f>
        <v/>
      </c>
      <c r="C12" s="22" t="inlineStr">
        <is>
          <t>e-mails/mês</t>
        </is>
      </c>
      <c r="D12" s="12">
        <f>50000</f>
        <v/>
      </c>
      <c r="E12" s="12">
        <f>MAX(0,B12-D12)</f>
        <v/>
      </c>
      <c r="F12" s="27">
        <f>0</f>
        <v/>
      </c>
      <c r="G12" s="27">
        <f>IF(B12&gt;50000,ROUNDUP((B12-50000)/1000,0)*0.9,0)</f>
        <v/>
      </c>
      <c r="H12" s="27">
        <f>F12+G12</f>
        <v/>
      </c>
      <c r="I12" s="23">
        <f>H12*Premissas!$B$3</f>
        <v/>
      </c>
    </row>
    <row r="13">
      <c r="A13" s="22" t="inlineStr">
        <is>
          <t>Domínio (.com.br) — rateio mensal</t>
        </is>
      </c>
      <c r="B13" s="15" t="n">
        <v>40</v>
      </c>
      <c r="C13" s="22" t="inlineStr">
        <is>
          <t>R$/ano</t>
        </is>
      </c>
      <c r="D13" s="22" t="n"/>
      <c r="E13" s="22" t="n"/>
      <c r="F13" s="22" t="n"/>
      <c r="G13" s="22" t="n"/>
      <c r="H13" s="27">
        <f>I13/Premissas!$B$3</f>
        <v/>
      </c>
      <c r="I13" s="23">
        <f>B13/12</f>
        <v/>
      </c>
    </row>
    <row r="14">
      <c r="A14" s="28" t="inlineStr">
        <is>
          <t>TOTAL INFRAESTRUTURA</t>
        </is>
      </c>
      <c r="B14" s="28" t="n"/>
      <c r="C14" s="28" t="n"/>
      <c r="D14" s="28" t="n"/>
      <c r="E14" s="28" t="n"/>
      <c r="F14" s="28" t="n"/>
      <c r="G14" s="28" t="n"/>
      <c r="H14" s="29">
        <f>SUM(H4:H13)</f>
        <v/>
      </c>
      <c r="I14" s="30">
        <f>SUM(I4:I13)</f>
        <v/>
      </c>
    </row>
    <row r="16">
      <c r="A16" s="31" t="inlineStr">
        <is>
          <t>Pagamentos (futuro) — taxa repassada, NÃO entra no total de infra</t>
        </is>
      </c>
      <c r="B16" s="3">
        <f>Premissas!$B$7*Premissas!$B$18</f>
        <v/>
      </c>
      <c r="C16" t="inlineStr">
        <is>
          <t>R$ GMV/mês</t>
        </is>
      </c>
      <c r="I16" s="3">
        <f>B16*0.0499</f>
        <v/>
      </c>
    </row>
    <row r="18">
      <c r="A18" s="2" t="inlineStr">
        <is>
          <t>PREÇO A COBRAR POR EVENTO</t>
        </is>
      </c>
    </row>
    <row r="19">
      <c r="A19" t="inlineStr">
        <is>
          <t>Custo de infra por evento (R$)</t>
        </is>
      </c>
      <c r="I19" s="3">
        <f>I14/Premissas!$B$7</f>
        <v/>
      </c>
    </row>
    <row r="20">
      <c r="A20" t="inlineStr">
        <is>
          <t>Margem aplicada (Premissas)</t>
        </is>
      </c>
      <c r="I20" s="8">
        <f>Premissas!$B$17</f>
        <v/>
      </c>
    </row>
    <row r="21">
      <c r="A21" s="19" t="inlineStr">
        <is>
          <t>PREÇO SUGERIDO POR EVENTO (R$)</t>
        </is>
      </c>
      <c r="B21" s="19" t="n"/>
      <c r="C21" s="19" t="n"/>
      <c r="D21" s="19" t="n"/>
      <c r="E21" s="19" t="n"/>
      <c r="F21" s="19" t="n"/>
      <c r="G21" s="19" t="n"/>
      <c r="H21" s="19" t="n"/>
      <c r="I21" s="20">
        <f>I19*(1+Premissas!$B$17)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2026-09-09T19:49:03Z</dcterms:created>
  <dcterms:modified xmlns:dcterms="http://purl.org/dc/terms/" xmlns:xsi="http://www.w3.org/2001/XMLSchema-instance" xsi:type="dcterms:W3CDTF">2026-09-09T19:49:03Z</dcterms:modified>
</cp:coreProperties>
</file>